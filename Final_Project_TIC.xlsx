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Amine\Documents\"/>
    </mc:Choice>
  </mc:AlternateContent>
  <xr:revisionPtr revIDLastSave="0" documentId="13_ncr:1_{CA427FA1-7983-4688-842F-1AFFBB8F0E98}" xr6:coauthVersionLast="47" xr6:coauthVersionMax="47" xr10:uidLastSave="{00000000-0000-0000-0000-000000000000}"/>
  <bookViews>
    <workbookView xWindow="-120" yWindow="-120" windowWidth="19440" windowHeight="11040" xr2:uid="{1D2FDA5B-610A-44C4-AC22-076815C56356}"/>
  </bookViews>
  <sheets>
    <sheet name="Qus1" sheetId="1" r:id="rId1"/>
    <sheet name="Qus2 Table1" sheetId="2" r:id="rId2"/>
    <sheet name="Qus2 Table2" sheetId="3" r:id="rId3"/>
    <sheet name="Qus2 Table3" sheetId="4" r:id="rId4"/>
    <sheet name="Qus3" sheetId="5" r:id="rId5"/>
    <sheet name="Qus4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5" l="1"/>
  <c r="F12" i="5"/>
  <c r="E7" i="5"/>
  <c r="E8" i="5"/>
  <c r="E9" i="5"/>
  <c r="F9" i="5" s="1"/>
  <c r="E10" i="5"/>
  <c r="F10" i="5" s="1"/>
  <c r="E11" i="5"/>
  <c r="F11" i="5" s="1"/>
  <c r="E12" i="5"/>
  <c r="D3" i="5"/>
  <c r="D4" i="5"/>
  <c r="D5" i="5"/>
  <c r="D6" i="5"/>
  <c r="E6" i="5" s="1"/>
  <c r="D7" i="5"/>
  <c r="D8" i="5"/>
  <c r="D9" i="5"/>
  <c r="D10" i="5"/>
  <c r="D11" i="5"/>
  <c r="D12" i="5"/>
  <c r="D13" i="5"/>
  <c r="E13" i="5" s="1"/>
  <c r="F13" i="5" s="1"/>
  <c r="D14" i="5"/>
  <c r="E14" i="5" s="1"/>
  <c r="F14" i="5" s="1"/>
  <c r="D15" i="5"/>
  <c r="D2" i="5"/>
  <c r="E2" i="5" s="1"/>
  <c r="C2" i="6"/>
  <c r="C4" i="6"/>
  <c r="C3" i="6"/>
  <c r="C5" i="6"/>
  <c r="C6" i="6"/>
  <c r="C7" i="6"/>
  <c r="C8" i="6"/>
  <c r="C9" i="6"/>
  <c r="C10" i="6"/>
  <c r="C11" i="6"/>
  <c r="G19" i="5" l="1"/>
  <c r="G20" i="5" s="1"/>
  <c r="F6" i="5"/>
  <c r="G7" i="5"/>
  <c r="F8" i="5"/>
  <c r="G8" i="5" s="1"/>
  <c r="E5" i="5"/>
  <c r="F5" i="5" s="1"/>
  <c r="G5" i="5" s="1"/>
  <c r="E15" i="5"/>
  <c r="F15" i="5" s="1"/>
  <c r="G15" i="5" s="1"/>
  <c r="E3" i="5"/>
  <c r="F3" i="5" s="1"/>
  <c r="G3" i="5" s="1"/>
  <c r="G2" i="5"/>
  <c r="E4" i="5"/>
  <c r="F4" i="5" s="1"/>
  <c r="G4" i="5" s="1"/>
  <c r="F2" i="5"/>
  <c r="F7" i="5"/>
  <c r="G6" i="5"/>
  <c r="G10" i="5"/>
  <c r="G9" i="5"/>
  <c r="G11" i="5"/>
  <c r="G12" i="5"/>
  <c r="G14" i="5"/>
  <c r="G13" i="5"/>
</calcChain>
</file>

<file path=xl/sharedStrings.xml><?xml version="1.0" encoding="utf-8"?>
<sst xmlns="http://schemas.openxmlformats.org/spreadsheetml/2006/main" count="137" uniqueCount="36">
  <si>
    <t>Students</t>
  </si>
  <si>
    <t>Faculty</t>
  </si>
  <si>
    <t>University</t>
  </si>
  <si>
    <t>Arts</t>
  </si>
  <si>
    <t>Yale</t>
  </si>
  <si>
    <t>Physics</t>
  </si>
  <si>
    <t>Brown</t>
  </si>
  <si>
    <t>Economics</t>
  </si>
  <si>
    <t>Dartmouth</t>
  </si>
  <si>
    <t>Harvard</t>
  </si>
  <si>
    <t>Columbia</t>
  </si>
  <si>
    <t>Cornell</t>
  </si>
  <si>
    <t>Mathematics</t>
  </si>
  <si>
    <t>Princeton</t>
  </si>
  <si>
    <t>Psychology</t>
  </si>
  <si>
    <t>Penn State</t>
  </si>
  <si>
    <t>Ivy League Applicants</t>
  </si>
  <si>
    <t>Row Labels</t>
  </si>
  <si>
    <t>Grand Total</t>
  </si>
  <si>
    <t>Column Labels</t>
  </si>
  <si>
    <t>Sum of Students</t>
  </si>
  <si>
    <t>Time(s)</t>
  </si>
  <si>
    <t>Distance (m)</t>
  </si>
  <si>
    <t>Speed (m/s)</t>
  </si>
  <si>
    <t>ID</t>
  </si>
  <si>
    <t>PU</t>
  </si>
  <si>
    <t>QTE</t>
  </si>
  <si>
    <t>PT</t>
  </si>
  <si>
    <t>Remise</t>
  </si>
  <si>
    <t>Val Remise</t>
  </si>
  <si>
    <t>Total a payer</t>
  </si>
  <si>
    <t>Total facture:</t>
  </si>
  <si>
    <t>TVA:</t>
  </si>
  <si>
    <t>Val TVA:</t>
  </si>
  <si>
    <t xml:space="preserve">TTC: </t>
  </si>
  <si>
    <t>Average of Students2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</si>
</sst>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&quot;$&quot;_ ;_ * \(#,##0.00\)&quot;$&quot;_ ;_ * &quot;-&quot;??_)&quot;$&quot;_ ;_ @_ "/>
    <numFmt numFmtId="164" formatCode="_ * #,##0.00_)\ [$DZD]_ ;_ * \(#,##0.00\)\ [$DZD]_ ;_ * &quot;-&quot;??_)\ [$DZD]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7" tint="-0.249977111117893"/>
      <name val="Aptos Narrow"/>
      <family val="2"/>
      <scheme val="minor"/>
    </font>
    <font>
      <b/>
      <sz val="11"/>
      <color theme="1"/>
      <name val="Nirmala Text"/>
      <family val="2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1BCE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2" fillId="0" borderId="3" xfId="1" applyNumberFormat="1" applyFont="1" applyBorder="1"/>
    <xf numFmtId="164" fontId="2" fillId="4" borderId="3" xfId="1" applyNumberFormat="1" applyFont="1" applyFill="1" applyBorder="1"/>
    <xf numFmtId="164" fontId="2" fillId="0" borderId="3" xfId="0" applyNumberFormat="1" applyFont="1" applyBorder="1"/>
    <xf numFmtId="164" fontId="2" fillId="4" borderId="3" xfId="0" applyNumberFormat="1" applyFont="1" applyFill="1" applyBorder="1"/>
    <xf numFmtId="0" fontId="3" fillId="6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9" fontId="2" fillId="0" borderId="3" xfId="2" applyFont="1" applyBorder="1" applyAlignment="1">
      <alignment horizontal="center"/>
    </xf>
    <xf numFmtId="9" fontId="2" fillId="4" borderId="3" xfId="2" applyFont="1" applyFill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0" fontId="7" fillId="5" borderId="3" xfId="0" applyFont="1" applyFill="1" applyBorder="1" applyAlignment="1">
      <alignment horizontal="center"/>
    </xf>
    <xf numFmtId="164" fontId="6" fillId="8" borderId="9" xfId="0" applyNumberFormat="1" applyFont="1" applyFill="1" applyBorder="1"/>
    <xf numFmtId="0" fontId="5" fillId="0" borderId="10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164" fontId="8" fillId="0" borderId="9" xfId="0" applyNumberFormat="1" applyFont="1" applyBorder="1"/>
    <xf numFmtId="9" fontId="8" fillId="0" borderId="9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1BC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/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'Qus4'!$C$1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'Qus4'!$A$2:$A$11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'Qus4'!$C$2:$C$11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8-499C-97E8-D3437BB7D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884896"/>
        <c:axId val="1063883456"/>
      </c:lineChart>
      <c:catAx>
        <c:axId val="106388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883456"/>
        <c:crosses val="autoZero"/>
        <c:auto val="1"/>
        <c:lblAlgn val="ctr"/>
        <c:lblOffset val="100"/>
        <c:noMultiLvlLbl val="0"/>
      </c:catAx>
      <c:valAx>
        <c:axId val="10638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88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/Distance</a:t>
            </a:r>
          </a:p>
        </c:rich>
      </c:tx>
      <c:layout>
        <c:manualLayout>
          <c:xMode val="edge"/>
          <c:yMode val="edge"/>
          <c:x val="0.3641041119860017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'Qus4'!$B$1</c:f>
              <c:strCache>
                <c:ptCount val="1"/>
                <c:pt idx="0">
                  <c:v>Distance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'Qus4'!$B$2:$B$11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'Qus4'!$C$2:$C$11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E-4641-9732-4EB4B2167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383024"/>
        <c:axId val="892379184"/>
      </c:lineChart>
      <c:catAx>
        <c:axId val="8923830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79184"/>
        <c:crosses val="autoZero"/>
        <c:auto val="1"/>
        <c:lblAlgn val="ctr"/>
        <c:lblOffset val="100"/>
        <c:noMultiLvlLbl val="0"/>
      </c:catAx>
      <c:valAx>
        <c:axId val="8923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38100</xdr:rowOff>
    </xdr:from>
    <xdr:to>
      <xdr:col>4</xdr:col>
      <xdr:colOff>408214</xdr:colOff>
      <xdr:row>27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C387D41-AC9A-E172-659A-347C654B8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13607</xdr:rowOff>
    </xdr:from>
    <xdr:to>
      <xdr:col>4</xdr:col>
      <xdr:colOff>408213</xdr:colOff>
      <xdr:row>43</xdr:row>
      <xdr:rowOff>89807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25FD79B-CD11-A033-E512-05EAB62EA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sAmine" refreshedDate="46001.333270601855" createdVersion="8" refreshedVersion="8" minRefreshableVersion="3" recordCount="40" xr:uid="{9DD0391B-7371-469F-97D3-914382ECD7FF}">
  <cacheSource type="worksheet">
    <worksheetSource ref="A2:C42" sheet="Qus1"/>
  </cacheSource>
  <cacheFields count="3">
    <cacheField name="Students" numFmtId="0">
      <sharedItems containsSemiMixedTypes="0" containsString="0" containsNumber="1" containsInteger="1" minValue="135" maxValue="9567"/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591"/>
    <x v="0"/>
    <x v="0"/>
  </r>
  <r>
    <n v="9567"/>
    <x v="1"/>
    <x v="1"/>
  </r>
  <r>
    <n v="542"/>
    <x v="2"/>
    <x v="2"/>
  </r>
  <r>
    <n v="346"/>
    <x v="2"/>
    <x v="3"/>
  </r>
  <r>
    <n v="849"/>
    <x v="0"/>
    <x v="4"/>
  </r>
  <r>
    <n v="552"/>
    <x v="2"/>
    <x v="5"/>
  </r>
  <r>
    <n v="173"/>
    <x v="0"/>
    <x v="3"/>
  </r>
  <r>
    <n v="1355"/>
    <x v="0"/>
    <x v="5"/>
  </r>
  <r>
    <n v="193"/>
    <x v="3"/>
    <x v="6"/>
  </r>
  <r>
    <n v="615"/>
    <x v="3"/>
    <x v="3"/>
  </r>
  <r>
    <n v="1579"/>
    <x v="3"/>
    <x v="1"/>
  </r>
  <r>
    <n v="547"/>
    <x v="1"/>
    <x v="2"/>
  </r>
  <r>
    <n v="1687"/>
    <x v="4"/>
    <x v="2"/>
  </r>
  <r>
    <n v="972"/>
    <x v="2"/>
    <x v="1"/>
  </r>
  <r>
    <n v="234"/>
    <x v="2"/>
    <x v="7"/>
  </r>
  <r>
    <n v="151"/>
    <x v="4"/>
    <x v="6"/>
  </r>
  <r>
    <n v="1793"/>
    <x v="1"/>
    <x v="4"/>
  </r>
  <r>
    <n v="315"/>
    <x v="4"/>
    <x v="4"/>
  </r>
  <r>
    <n v="618"/>
    <x v="1"/>
    <x v="5"/>
  </r>
  <r>
    <n v="246"/>
    <x v="1"/>
    <x v="0"/>
  </r>
  <r>
    <n v="784"/>
    <x v="1"/>
    <x v="6"/>
  </r>
  <r>
    <n v="316"/>
    <x v="3"/>
    <x v="2"/>
  </r>
  <r>
    <n v="3155"/>
    <x v="0"/>
    <x v="2"/>
  </r>
  <r>
    <n v="318"/>
    <x v="4"/>
    <x v="7"/>
  </r>
  <r>
    <n v="608"/>
    <x v="2"/>
    <x v="4"/>
  </r>
  <r>
    <n v="561"/>
    <x v="0"/>
    <x v="6"/>
  </r>
  <r>
    <n v="357"/>
    <x v="4"/>
    <x v="0"/>
  </r>
  <r>
    <n v="1688"/>
    <x v="3"/>
    <x v="4"/>
  </r>
  <r>
    <n v="972"/>
    <x v="2"/>
    <x v="6"/>
  </r>
  <r>
    <n v="568"/>
    <x v="1"/>
    <x v="7"/>
  </r>
  <r>
    <n v="632"/>
    <x v="3"/>
    <x v="7"/>
  </r>
  <r>
    <n v="551"/>
    <x v="4"/>
    <x v="5"/>
  </r>
  <r>
    <n v="948"/>
    <x v="1"/>
    <x v="3"/>
  </r>
  <r>
    <n v="1358"/>
    <x v="0"/>
    <x v="1"/>
  </r>
  <r>
    <n v="135"/>
    <x v="0"/>
    <x v="7"/>
  </r>
  <r>
    <n v="849"/>
    <x v="3"/>
    <x v="0"/>
  </r>
  <r>
    <n v="158"/>
    <x v="4"/>
    <x v="3"/>
  </r>
  <r>
    <n v="1889"/>
    <x v="3"/>
    <x v="5"/>
  </r>
  <r>
    <n v="651"/>
    <x v="4"/>
    <x v="1"/>
  </r>
  <r>
    <n v="65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D6AB2-2AC3-4164-9D5F-27F27BD356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">
    <pivotField dataField="1"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1F033-8168-4E40-A8F9-FC698E72A2E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3">
    <pivotField dataField="1" showAll="0"/>
    <pivotField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0" subtotal="average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C8256-581E-4187-9D13-AC6CF76C25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3">
    <pivotField dataFiel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udent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37AD-F418-4324-9767-F78B16329040}">
  <dimension ref="A1:C42"/>
  <sheetViews>
    <sheetView tabSelected="1" workbookViewId="0">
      <selection activeCell="I18" sqref="I18"/>
    </sheetView>
  </sheetViews>
  <sheetFormatPr defaultRowHeight="15" x14ac:dyDescent="0.25"/>
  <cols>
    <col min="1" max="1" width="8.5703125" bestFit="1" customWidth="1"/>
    <col min="2" max="2" width="12.42578125" bestFit="1" customWidth="1"/>
    <col min="3" max="3" width="10.42578125" bestFit="1" customWidth="1"/>
  </cols>
  <sheetData>
    <row r="1" spans="1:3" ht="24" x14ac:dyDescent="0.4">
      <c r="A1" s="12" t="s">
        <v>16</v>
      </c>
      <c r="B1" s="12"/>
      <c r="C1" s="12"/>
    </row>
    <row r="2" spans="1:3" ht="15.75" x14ac:dyDescent="0.25">
      <c r="A2" s="13" t="s">
        <v>0</v>
      </c>
      <c r="B2" s="13" t="s">
        <v>1</v>
      </c>
      <c r="C2" s="13" t="s">
        <v>2</v>
      </c>
    </row>
    <row r="3" spans="1:3" x14ac:dyDescent="0.25">
      <c r="A3" s="2">
        <v>591</v>
      </c>
      <c r="B3" s="3" t="s">
        <v>3</v>
      </c>
      <c r="C3" s="3" t="s">
        <v>4</v>
      </c>
    </row>
    <row r="4" spans="1:3" x14ac:dyDescent="0.25">
      <c r="A4" s="4">
        <v>9567</v>
      </c>
      <c r="B4" s="1" t="s">
        <v>5</v>
      </c>
      <c r="C4" s="1" t="s">
        <v>6</v>
      </c>
    </row>
    <row r="5" spans="1:3" x14ac:dyDescent="0.25">
      <c r="A5" s="2">
        <v>542</v>
      </c>
      <c r="B5" s="3" t="s">
        <v>7</v>
      </c>
      <c r="C5" s="3" t="s">
        <v>8</v>
      </c>
    </row>
    <row r="6" spans="1:3" x14ac:dyDescent="0.25">
      <c r="A6" s="4">
        <v>346</v>
      </c>
      <c r="B6" s="1" t="s">
        <v>7</v>
      </c>
      <c r="C6" s="1" t="s">
        <v>9</v>
      </c>
    </row>
    <row r="7" spans="1:3" x14ac:dyDescent="0.25">
      <c r="A7" s="2">
        <v>849</v>
      </c>
      <c r="B7" s="3" t="s">
        <v>3</v>
      </c>
      <c r="C7" s="3" t="s">
        <v>10</v>
      </c>
    </row>
    <row r="8" spans="1:3" x14ac:dyDescent="0.25">
      <c r="A8" s="4">
        <v>552</v>
      </c>
      <c r="B8" s="1" t="s">
        <v>7</v>
      </c>
      <c r="C8" s="1" t="s">
        <v>11</v>
      </c>
    </row>
    <row r="9" spans="1:3" x14ac:dyDescent="0.25">
      <c r="A9" s="2">
        <v>173</v>
      </c>
      <c r="B9" s="3" t="s">
        <v>3</v>
      </c>
      <c r="C9" s="3" t="s">
        <v>9</v>
      </c>
    </row>
    <row r="10" spans="1:3" x14ac:dyDescent="0.25">
      <c r="A10" s="4">
        <v>1355</v>
      </c>
      <c r="B10" s="1" t="s">
        <v>3</v>
      </c>
      <c r="C10" s="1" t="s">
        <v>11</v>
      </c>
    </row>
    <row r="11" spans="1:3" x14ac:dyDescent="0.25">
      <c r="A11" s="2">
        <v>193</v>
      </c>
      <c r="B11" s="3" t="s">
        <v>12</v>
      </c>
      <c r="C11" s="3" t="s">
        <v>13</v>
      </c>
    </row>
    <row r="12" spans="1:3" x14ac:dyDescent="0.25">
      <c r="A12" s="4">
        <v>615</v>
      </c>
      <c r="B12" s="1" t="s">
        <v>12</v>
      </c>
      <c r="C12" s="1" t="s">
        <v>9</v>
      </c>
    </row>
    <row r="13" spans="1:3" x14ac:dyDescent="0.25">
      <c r="A13" s="2">
        <v>1579</v>
      </c>
      <c r="B13" s="3" t="s">
        <v>12</v>
      </c>
      <c r="C13" s="3" t="s">
        <v>6</v>
      </c>
    </row>
    <row r="14" spans="1:3" x14ac:dyDescent="0.25">
      <c r="A14" s="4">
        <v>547</v>
      </c>
      <c r="B14" s="1" t="s">
        <v>5</v>
      </c>
      <c r="C14" s="1" t="s">
        <v>8</v>
      </c>
    </row>
    <row r="15" spans="1:3" x14ac:dyDescent="0.25">
      <c r="A15" s="2">
        <v>1687</v>
      </c>
      <c r="B15" s="3" t="s">
        <v>14</v>
      </c>
      <c r="C15" s="3" t="s">
        <v>8</v>
      </c>
    </row>
    <row r="16" spans="1:3" x14ac:dyDescent="0.25">
      <c r="A16" s="4">
        <v>972</v>
      </c>
      <c r="B16" s="1" t="s">
        <v>7</v>
      </c>
      <c r="C16" s="1" t="s">
        <v>6</v>
      </c>
    </row>
    <row r="17" spans="1:3" x14ac:dyDescent="0.25">
      <c r="A17" s="2">
        <v>234</v>
      </c>
      <c r="B17" s="3" t="s">
        <v>7</v>
      </c>
      <c r="C17" s="3" t="s">
        <v>15</v>
      </c>
    </row>
    <row r="18" spans="1:3" x14ac:dyDescent="0.25">
      <c r="A18" s="4">
        <v>151</v>
      </c>
      <c r="B18" s="1" t="s">
        <v>14</v>
      </c>
      <c r="C18" s="1" t="s">
        <v>13</v>
      </c>
    </row>
    <row r="19" spans="1:3" x14ac:dyDescent="0.25">
      <c r="A19" s="2">
        <v>1793</v>
      </c>
      <c r="B19" s="3" t="s">
        <v>5</v>
      </c>
      <c r="C19" s="3" t="s">
        <v>10</v>
      </c>
    </row>
    <row r="20" spans="1:3" x14ac:dyDescent="0.25">
      <c r="A20" s="4">
        <v>315</v>
      </c>
      <c r="B20" s="1" t="s">
        <v>14</v>
      </c>
      <c r="C20" s="1" t="s">
        <v>10</v>
      </c>
    </row>
    <row r="21" spans="1:3" x14ac:dyDescent="0.25">
      <c r="A21" s="2">
        <v>618</v>
      </c>
      <c r="B21" s="3" t="s">
        <v>5</v>
      </c>
      <c r="C21" s="3" t="s">
        <v>11</v>
      </c>
    </row>
    <row r="22" spans="1:3" x14ac:dyDescent="0.25">
      <c r="A22" s="4">
        <v>246</v>
      </c>
      <c r="B22" s="1" t="s">
        <v>5</v>
      </c>
      <c r="C22" s="1" t="s">
        <v>4</v>
      </c>
    </row>
    <row r="23" spans="1:3" x14ac:dyDescent="0.25">
      <c r="A23" s="2">
        <v>784</v>
      </c>
      <c r="B23" s="3" t="s">
        <v>5</v>
      </c>
      <c r="C23" s="3" t="s">
        <v>13</v>
      </c>
    </row>
    <row r="24" spans="1:3" x14ac:dyDescent="0.25">
      <c r="A24" s="4">
        <v>316</v>
      </c>
      <c r="B24" s="1" t="s">
        <v>12</v>
      </c>
      <c r="C24" s="1" t="s">
        <v>8</v>
      </c>
    </row>
    <row r="25" spans="1:3" x14ac:dyDescent="0.25">
      <c r="A25" s="2">
        <v>3155</v>
      </c>
      <c r="B25" s="3" t="s">
        <v>3</v>
      </c>
      <c r="C25" s="3" t="s">
        <v>8</v>
      </c>
    </row>
    <row r="26" spans="1:3" x14ac:dyDescent="0.25">
      <c r="A26" s="4">
        <v>318</v>
      </c>
      <c r="B26" s="1" t="s">
        <v>14</v>
      </c>
      <c r="C26" s="1" t="s">
        <v>15</v>
      </c>
    </row>
    <row r="27" spans="1:3" x14ac:dyDescent="0.25">
      <c r="A27" s="2">
        <v>608</v>
      </c>
      <c r="B27" s="3" t="s">
        <v>7</v>
      </c>
      <c r="C27" s="3" t="s">
        <v>10</v>
      </c>
    </row>
    <row r="28" spans="1:3" x14ac:dyDescent="0.25">
      <c r="A28" s="4">
        <v>561</v>
      </c>
      <c r="B28" s="1" t="s">
        <v>3</v>
      </c>
      <c r="C28" s="1" t="s">
        <v>13</v>
      </c>
    </row>
    <row r="29" spans="1:3" x14ac:dyDescent="0.25">
      <c r="A29" s="2">
        <v>357</v>
      </c>
      <c r="B29" s="3" t="s">
        <v>14</v>
      </c>
      <c r="C29" s="3" t="s">
        <v>4</v>
      </c>
    </row>
    <row r="30" spans="1:3" x14ac:dyDescent="0.25">
      <c r="A30" s="4">
        <v>1688</v>
      </c>
      <c r="B30" s="1" t="s">
        <v>12</v>
      </c>
      <c r="C30" s="1" t="s">
        <v>10</v>
      </c>
    </row>
    <row r="31" spans="1:3" x14ac:dyDescent="0.25">
      <c r="A31" s="2">
        <v>972</v>
      </c>
      <c r="B31" s="3" t="s">
        <v>7</v>
      </c>
      <c r="C31" s="3" t="s">
        <v>13</v>
      </c>
    </row>
    <row r="32" spans="1:3" x14ac:dyDescent="0.25">
      <c r="A32" s="4">
        <v>568</v>
      </c>
      <c r="B32" s="1" t="s">
        <v>5</v>
      </c>
      <c r="C32" s="1" t="s">
        <v>15</v>
      </c>
    </row>
    <row r="33" spans="1:3" x14ac:dyDescent="0.25">
      <c r="A33" s="2">
        <v>632</v>
      </c>
      <c r="B33" s="3" t="s">
        <v>12</v>
      </c>
      <c r="C33" s="3" t="s">
        <v>15</v>
      </c>
    </row>
    <row r="34" spans="1:3" x14ac:dyDescent="0.25">
      <c r="A34" s="4">
        <v>551</v>
      </c>
      <c r="B34" s="1" t="s">
        <v>14</v>
      </c>
      <c r="C34" s="1" t="s">
        <v>11</v>
      </c>
    </row>
    <row r="35" spans="1:3" x14ac:dyDescent="0.25">
      <c r="A35" s="2">
        <v>948</v>
      </c>
      <c r="B35" s="3" t="s">
        <v>5</v>
      </c>
      <c r="C35" s="3" t="s">
        <v>9</v>
      </c>
    </row>
    <row r="36" spans="1:3" x14ac:dyDescent="0.25">
      <c r="A36" s="4">
        <v>1358</v>
      </c>
      <c r="B36" s="1" t="s">
        <v>3</v>
      </c>
      <c r="C36" s="1" t="s">
        <v>6</v>
      </c>
    </row>
    <row r="37" spans="1:3" x14ac:dyDescent="0.25">
      <c r="A37" s="2">
        <v>135</v>
      </c>
      <c r="B37" s="3" t="s">
        <v>3</v>
      </c>
      <c r="C37" s="3" t="s">
        <v>15</v>
      </c>
    </row>
    <row r="38" spans="1:3" x14ac:dyDescent="0.25">
      <c r="A38" s="4">
        <v>849</v>
      </c>
      <c r="B38" s="1" t="s">
        <v>12</v>
      </c>
      <c r="C38" s="1" t="s">
        <v>4</v>
      </c>
    </row>
    <row r="39" spans="1:3" x14ac:dyDescent="0.25">
      <c r="A39" s="2">
        <v>158</v>
      </c>
      <c r="B39" s="3" t="s">
        <v>14</v>
      </c>
      <c r="C39" s="3" t="s">
        <v>9</v>
      </c>
    </row>
    <row r="40" spans="1:3" x14ac:dyDescent="0.25">
      <c r="A40" s="4">
        <v>1889</v>
      </c>
      <c r="B40" s="1" t="s">
        <v>12</v>
      </c>
      <c r="C40" s="1" t="s">
        <v>11</v>
      </c>
    </row>
    <row r="41" spans="1:3" x14ac:dyDescent="0.25">
      <c r="A41" s="2">
        <v>651</v>
      </c>
      <c r="B41" s="3" t="s">
        <v>14</v>
      </c>
      <c r="C41" s="3" t="s">
        <v>6</v>
      </c>
    </row>
    <row r="42" spans="1:3" x14ac:dyDescent="0.25">
      <c r="A42" s="4">
        <v>651</v>
      </c>
      <c r="B42" s="1" t="s">
        <v>7</v>
      </c>
      <c r="C42" s="1" t="s">
        <v>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C17E-3568-4B55-889B-CB2AE115B6CC}">
  <dimension ref="A3:C9"/>
  <sheetViews>
    <sheetView workbookViewId="0">
      <selection activeCell="E10" sqref="E10"/>
    </sheetView>
  </sheetViews>
  <sheetFormatPr defaultRowHeight="15" x14ac:dyDescent="0.25"/>
  <cols>
    <col min="1" max="1" width="13.42578125" bestFit="1" customWidth="1"/>
    <col min="2" max="2" width="33.5703125" customWidth="1"/>
    <col min="3" max="3" width="53.85546875" customWidth="1"/>
    <col min="4" max="5" width="16.85546875" bestFit="1" customWidth="1"/>
    <col min="6" max="6" width="11.28515625" bestFit="1" customWidth="1"/>
  </cols>
  <sheetData>
    <row r="3" spans="1:3" x14ac:dyDescent="0.25">
      <c r="A3" s="5" t="s">
        <v>17</v>
      </c>
      <c r="B3" t="s">
        <v>20</v>
      </c>
      <c r="C3" t="s">
        <v>35</v>
      </c>
    </row>
    <row r="4" spans="1:3" x14ac:dyDescent="0.25">
      <c r="A4" s="6" t="s">
        <v>3</v>
      </c>
      <c r="B4" s="7">
        <v>8177</v>
      </c>
      <c r="C4" s="7">
        <v>1022.125</v>
      </c>
    </row>
    <row r="5" spans="1:3" x14ac:dyDescent="0.25">
      <c r="A5" s="6" t="s">
        <v>7</v>
      </c>
      <c r="B5" s="7">
        <v>4877</v>
      </c>
      <c r="C5" s="7">
        <v>609.625</v>
      </c>
    </row>
    <row r="6" spans="1:3" x14ac:dyDescent="0.25">
      <c r="A6" s="6" t="s">
        <v>12</v>
      </c>
      <c r="B6" s="7">
        <v>7761</v>
      </c>
      <c r="C6" s="7">
        <v>970.125</v>
      </c>
    </row>
    <row r="7" spans="1:3" x14ac:dyDescent="0.25">
      <c r="A7" s="6" t="s">
        <v>5</v>
      </c>
      <c r="B7" s="7">
        <v>15071</v>
      </c>
      <c r="C7" s="7">
        <v>1883.875</v>
      </c>
    </row>
    <row r="8" spans="1:3" x14ac:dyDescent="0.25">
      <c r="A8" s="6" t="s">
        <v>14</v>
      </c>
      <c r="B8" s="7">
        <v>4188</v>
      </c>
      <c r="C8" s="7">
        <v>523.5</v>
      </c>
    </row>
    <row r="9" spans="1:3" x14ac:dyDescent="0.25">
      <c r="A9" s="6" t="s">
        <v>18</v>
      </c>
      <c r="B9" s="7">
        <v>40074</v>
      </c>
      <c r="C9" s="7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007F-2A7E-4FEA-9AF5-AD7C9296BEFB}">
  <dimension ref="A3:C12"/>
  <sheetViews>
    <sheetView workbookViewId="0">
      <selection activeCell="G14" sqref="G14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20.28515625" bestFit="1" customWidth="1"/>
    <col min="7" max="7" width="17.5703125" bestFit="1" customWidth="1"/>
  </cols>
  <sheetData>
    <row r="3" spans="1:3" x14ac:dyDescent="0.25">
      <c r="A3" s="5" t="s">
        <v>17</v>
      </c>
      <c r="B3" t="s">
        <v>20</v>
      </c>
      <c r="C3" t="s">
        <v>35</v>
      </c>
    </row>
    <row r="4" spans="1:3" x14ac:dyDescent="0.25">
      <c r="A4" s="6" t="s">
        <v>6</v>
      </c>
      <c r="B4" s="7">
        <v>14127</v>
      </c>
      <c r="C4" s="7">
        <v>2825.4</v>
      </c>
    </row>
    <row r="5" spans="1:3" x14ac:dyDescent="0.25">
      <c r="A5" s="6" t="s">
        <v>10</v>
      </c>
      <c r="B5" s="7">
        <v>5253</v>
      </c>
      <c r="C5" s="7">
        <v>1050.5999999999999</v>
      </c>
    </row>
    <row r="6" spans="1:3" x14ac:dyDescent="0.25">
      <c r="A6" s="6" t="s">
        <v>11</v>
      </c>
      <c r="B6" s="7">
        <v>4965</v>
      </c>
      <c r="C6" s="7">
        <v>993</v>
      </c>
    </row>
    <row r="7" spans="1:3" x14ac:dyDescent="0.25">
      <c r="A7" s="6" t="s">
        <v>8</v>
      </c>
      <c r="B7" s="7">
        <v>6247</v>
      </c>
      <c r="C7" s="7">
        <v>1249.4000000000001</v>
      </c>
    </row>
    <row r="8" spans="1:3" x14ac:dyDescent="0.25">
      <c r="A8" s="6" t="s">
        <v>9</v>
      </c>
      <c r="B8" s="7">
        <v>2240</v>
      </c>
      <c r="C8" s="7">
        <v>448</v>
      </c>
    </row>
    <row r="9" spans="1:3" x14ac:dyDescent="0.25">
      <c r="A9" s="6" t="s">
        <v>15</v>
      </c>
      <c r="B9" s="7">
        <v>1887</v>
      </c>
      <c r="C9" s="7">
        <v>377.4</v>
      </c>
    </row>
    <row r="10" spans="1:3" x14ac:dyDescent="0.25">
      <c r="A10" s="6" t="s">
        <v>13</v>
      </c>
      <c r="B10" s="7">
        <v>2661</v>
      </c>
      <c r="C10" s="7">
        <v>532.20000000000005</v>
      </c>
    </row>
    <row r="11" spans="1:3" x14ac:dyDescent="0.25">
      <c r="A11" s="6" t="s">
        <v>4</v>
      </c>
      <c r="B11" s="7">
        <v>2694</v>
      </c>
      <c r="C11" s="7">
        <v>538.79999999999995</v>
      </c>
    </row>
    <row r="12" spans="1:3" x14ac:dyDescent="0.25">
      <c r="A12" s="6" t="s">
        <v>18</v>
      </c>
      <c r="B12" s="7">
        <v>40074</v>
      </c>
      <c r="C12" s="7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D607-7B67-413E-9FF1-CC83A05BF953}">
  <dimension ref="A3:G13"/>
  <sheetViews>
    <sheetView workbookViewId="0">
      <selection activeCell="D16" sqref="D16"/>
    </sheetView>
  </sheetViews>
  <sheetFormatPr defaultRowHeight="15" x14ac:dyDescent="0.25"/>
  <cols>
    <col min="1" max="1" width="16" bestFit="1" customWidth="1"/>
    <col min="2" max="2" width="16.85546875" bestFit="1" customWidth="1"/>
    <col min="3" max="3" width="10.85546875" bestFit="1" customWidth="1"/>
    <col min="4" max="4" width="12.5703125" bestFit="1" customWidth="1"/>
    <col min="5" max="5" width="7.85546875" bestFit="1" customWidth="1"/>
    <col min="6" max="6" width="11.140625" bestFit="1" customWidth="1"/>
    <col min="7" max="7" width="11.28515625" bestFit="1" customWidth="1"/>
  </cols>
  <sheetData>
    <row r="3" spans="1:7" x14ac:dyDescent="0.25">
      <c r="A3" s="5" t="s">
        <v>20</v>
      </c>
      <c r="B3" s="5" t="s">
        <v>19</v>
      </c>
    </row>
    <row r="4" spans="1:7" x14ac:dyDescent="0.25">
      <c r="A4" s="5" t="s">
        <v>17</v>
      </c>
      <c r="B4" t="s">
        <v>3</v>
      </c>
      <c r="C4" t="s">
        <v>7</v>
      </c>
      <c r="D4" t="s">
        <v>12</v>
      </c>
      <c r="E4" t="s">
        <v>5</v>
      </c>
      <c r="F4" t="s">
        <v>14</v>
      </c>
      <c r="G4" t="s">
        <v>18</v>
      </c>
    </row>
    <row r="5" spans="1:7" x14ac:dyDescent="0.25">
      <c r="A5" s="6" t="s">
        <v>6</v>
      </c>
      <c r="B5" s="7">
        <v>1358</v>
      </c>
      <c r="C5" s="7">
        <v>972</v>
      </c>
      <c r="D5" s="7">
        <v>1579</v>
      </c>
      <c r="E5" s="7">
        <v>9567</v>
      </c>
      <c r="F5" s="7">
        <v>651</v>
      </c>
      <c r="G5" s="7">
        <v>14127</v>
      </c>
    </row>
    <row r="6" spans="1:7" x14ac:dyDescent="0.25">
      <c r="A6" s="6" t="s">
        <v>10</v>
      </c>
      <c r="B6" s="7">
        <v>849</v>
      </c>
      <c r="C6" s="7">
        <v>608</v>
      </c>
      <c r="D6" s="7">
        <v>1688</v>
      </c>
      <c r="E6" s="7">
        <v>1793</v>
      </c>
      <c r="F6" s="7">
        <v>315</v>
      </c>
      <c r="G6" s="7">
        <v>5253</v>
      </c>
    </row>
    <row r="7" spans="1:7" x14ac:dyDescent="0.25">
      <c r="A7" s="6" t="s">
        <v>11</v>
      </c>
      <c r="B7" s="7">
        <v>1355</v>
      </c>
      <c r="C7" s="7">
        <v>552</v>
      </c>
      <c r="D7" s="7">
        <v>1889</v>
      </c>
      <c r="E7" s="7">
        <v>618</v>
      </c>
      <c r="F7" s="7">
        <v>551</v>
      </c>
      <c r="G7" s="7">
        <v>4965</v>
      </c>
    </row>
    <row r="8" spans="1:7" x14ac:dyDescent="0.25">
      <c r="A8" s="6" t="s">
        <v>8</v>
      </c>
      <c r="B8" s="7">
        <v>3155</v>
      </c>
      <c r="C8" s="7">
        <v>542</v>
      </c>
      <c r="D8" s="7">
        <v>316</v>
      </c>
      <c r="E8" s="7">
        <v>547</v>
      </c>
      <c r="F8" s="7">
        <v>1687</v>
      </c>
      <c r="G8" s="7">
        <v>6247</v>
      </c>
    </row>
    <row r="9" spans="1:7" x14ac:dyDescent="0.25">
      <c r="A9" s="6" t="s">
        <v>9</v>
      </c>
      <c r="B9" s="7">
        <v>173</v>
      </c>
      <c r="C9" s="7">
        <v>346</v>
      </c>
      <c r="D9" s="7">
        <v>615</v>
      </c>
      <c r="E9" s="7">
        <v>948</v>
      </c>
      <c r="F9" s="7">
        <v>158</v>
      </c>
      <c r="G9" s="7">
        <v>2240</v>
      </c>
    </row>
    <row r="10" spans="1:7" x14ac:dyDescent="0.25">
      <c r="A10" s="6" t="s">
        <v>15</v>
      </c>
      <c r="B10" s="7">
        <v>135</v>
      </c>
      <c r="C10" s="7">
        <v>234</v>
      </c>
      <c r="D10" s="7">
        <v>632</v>
      </c>
      <c r="E10" s="7">
        <v>568</v>
      </c>
      <c r="F10" s="7">
        <v>318</v>
      </c>
      <c r="G10" s="7">
        <v>1887</v>
      </c>
    </row>
    <row r="11" spans="1:7" x14ac:dyDescent="0.25">
      <c r="A11" s="6" t="s">
        <v>13</v>
      </c>
      <c r="B11" s="7">
        <v>561</v>
      </c>
      <c r="C11" s="7">
        <v>972</v>
      </c>
      <c r="D11" s="7">
        <v>193</v>
      </c>
      <c r="E11" s="7">
        <v>784</v>
      </c>
      <c r="F11" s="7">
        <v>151</v>
      </c>
      <c r="G11" s="7">
        <v>2661</v>
      </c>
    </row>
    <row r="12" spans="1:7" x14ac:dyDescent="0.25">
      <c r="A12" s="6" t="s">
        <v>4</v>
      </c>
      <c r="B12" s="7">
        <v>591</v>
      </c>
      <c r="C12" s="7">
        <v>651</v>
      </c>
      <c r="D12" s="7">
        <v>849</v>
      </c>
      <c r="E12" s="7">
        <v>246</v>
      </c>
      <c r="F12" s="7">
        <v>357</v>
      </c>
      <c r="G12" s="7">
        <v>2694</v>
      </c>
    </row>
    <row r="13" spans="1:7" x14ac:dyDescent="0.25">
      <c r="A13" s="6" t="s">
        <v>18</v>
      </c>
      <c r="B13" s="7">
        <v>8177</v>
      </c>
      <c r="C13" s="7">
        <v>4877</v>
      </c>
      <c r="D13" s="7">
        <v>7761</v>
      </c>
      <c r="E13" s="7">
        <v>15071</v>
      </c>
      <c r="F13" s="7">
        <v>4188</v>
      </c>
      <c r="G13" s="7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85BC-9486-43C0-858E-7FD5D7F12E29}">
  <dimension ref="A1:G20"/>
  <sheetViews>
    <sheetView zoomScale="85" zoomScaleNormal="85" workbookViewId="0">
      <selection activeCell="G17" sqref="G17"/>
    </sheetView>
  </sheetViews>
  <sheetFormatPr defaultRowHeight="15" x14ac:dyDescent="0.25"/>
  <cols>
    <col min="2" max="2" width="14.140625" bestFit="1" customWidth="1"/>
    <col min="3" max="3" width="11.28515625" customWidth="1"/>
    <col min="4" max="4" width="14.140625" bestFit="1" customWidth="1"/>
    <col min="5" max="5" width="11.140625" customWidth="1"/>
    <col min="6" max="6" width="14.28515625" customWidth="1"/>
    <col min="7" max="7" width="23.28515625" customWidth="1"/>
  </cols>
  <sheetData>
    <row r="1" spans="1:7" ht="16.5" x14ac:dyDescent="0.3">
      <c r="A1" s="29" t="s">
        <v>24</v>
      </c>
      <c r="B1" s="29" t="s">
        <v>25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30</v>
      </c>
    </row>
    <row r="2" spans="1:7" x14ac:dyDescent="0.25">
      <c r="A2" s="23">
        <v>1</v>
      </c>
      <c r="B2" s="8">
        <v>120</v>
      </c>
      <c r="C2" s="27">
        <v>3</v>
      </c>
      <c r="D2" s="10">
        <f>(B2*C2)</f>
        <v>360</v>
      </c>
      <c r="E2" s="25">
        <f>IF(D2&lt;100,0,IF(D2&lt;999,(0.05),(0.1)))</f>
        <v>0.05</v>
      </c>
      <c r="F2" s="10">
        <f>(D2 * E2)</f>
        <v>18</v>
      </c>
      <c r="G2" s="10">
        <f>(D2-F2)</f>
        <v>342</v>
      </c>
    </row>
    <row r="3" spans="1:7" x14ac:dyDescent="0.25">
      <c r="A3" s="24">
        <v>2</v>
      </c>
      <c r="B3" s="9">
        <v>56</v>
      </c>
      <c r="C3" s="28">
        <v>5</v>
      </c>
      <c r="D3" s="11">
        <f t="shared" ref="D3:D15" si="0">(B3*C3)</f>
        <v>280</v>
      </c>
      <c r="E3" s="26">
        <f t="shared" ref="E3:E15" si="1">IF(D3&lt;100,0,IF(D3&lt;999,(0.05),(0.1)))</f>
        <v>0.05</v>
      </c>
      <c r="F3" s="11">
        <f t="shared" ref="F3:F15" si="2">(D3 * E3)</f>
        <v>14</v>
      </c>
      <c r="G3" s="11">
        <f t="shared" ref="G3:G15" si="3">(D3-F3)</f>
        <v>266</v>
      </c>
    </row>
    <row r="4" spans="1:7" x14ac:dyDescent="0.25">
      <c r="A4" s="23">
        <v>3</v>
      </c>
      <c r="B4" s="8">
        <v>70</v>
      </c>
      <c r="C4" s="27">
        <v>2</v>
      </c>
      <c r="D4" s="10">
        <f t="shared" si="0"/>
        <v>140</v>
      </c>
      <c r="E4" s="25">
        <f t="shared" si="1"/>
        <v>0.05</v>
      </c>
      <c r="F4" s="10">
        <f t="shared" si="2"/>
        <v>7</v>
      </c>
      <c r="G4" s="10">
        <f t="shared" si="3"/>
        <v>133</v>
      </c>
    </row>
    <row r="5" spans="1:7" x14ac:dyDescent="0.25">
      <c r="A5" s="24">
        <v>4</v>
      </c>
      <c r="B5" s="9">
        <v>430</v>
      </c>
      <c r="C5" s="28">
        <v>7</v>
      </c>
      <c r="D5" s="11">
        <f t="shared" si="0"/>
        <v>3010</v>
      </c>
      <c r="E5" s="26">
        <f t="shared" si="1"/>
        <v>0.1</v>
      </c>
      <c r="F5" s="11">
        <f t="shared" si="2"/>
        <v>301</v>
      </c>
      <c r="G5" s="11">
        <f t="shared" si="3"/>
        <v>2709</v>
      </c>
    </row>
    <row r="6" spans="1:7" x14ac:dyDescent="0.25">
      <c r="A6" s="23">
        <v>5</v>
      </c>
      <c r="B6" s="8">
        <v>230</v>
      </c>
      <c r="C6" s="27">
        <v>23</v>
      </c>
      <c r="D6" s="10">
        <f t="shared" si="0"/>
        <v>5290</v>
      </c>
      <c r="E6" s="25">
        <f t="shared" si="1"/>
        <v>0.1</v>
      </c>
      <c r="F6" s="10">
        <f t="shared" si="2"/>
        <v>529</v>
      </c>
      <c r="G6" s="10">
        <f t="shared" si="3"/>
        <v>4761</v>
      </c>
    </row>
    <row r="7" spans="1:7" x14ac:dyDescent="0.25">
      <c r="A7" s="24">
        <v>6</v>
      </c>
      <c r="B7" s="9">
        <v>10</v>
      </c>
      <c r="C7" s="28">
        <v>2</v>
      </c>
      <c r="D7" s="11">
        <f t="shared" si="0"/>
        <v>20</v>
      </c>
      <c r="E7" s="26">
        <f t="shared" si="1"/>
        <v>0</v>
      </c>
      <c r="F7" s="11">
        <f t="shared" si="2"/>
        <v>0</v>
      </c>
      <c r="G7" s="11">
        <f t="shared" si="3"/>
        <v>20</v>
      </c>
    </row>
    <row r="8" spans="1:7" x14ac:dyDescent="0.25">
      <c r="A8" s="23">
        <v>7</v>
      </c>
      <c r="B8" s="8">
        <v>5</v>
      </c>
      <c r="C8" s="27">
        <v>8</v>
      </c>
      <c r="D8" s="10">
        <f t="shared" si="0"/>
        <v>40</v>
      </c>
      <c r="E8" s="25">
        <f t="shared" si="1"/>
        <v>0</v>
      </c>
      <c r="F8" s="10">
        <f t="shared" si="2"/>
        <v>0</v>
      </c>
      <c r="G8" s="10">
        <f t="shared" si="3"/>
        <v>40</v>
      </c>
    </row>
    <row r="9" spans="1:7" x14ac:dyDescent="0.25">
      <c r="A9" s="24">
        <v>8</v>
      </c>
      <c r="B9" s="9">
        <v>5040</v>
      </c>
      <c r="C9" s="28">
        <v>1</v>
      </c>
      <c r="D9" s="11">
        <f t="shared" si="0"/>
        <v>5040</v>
      </c>
      <c r="E9" s="26">
        <f t="shared" si="1"/>
        <v>0.1</v>
      </c>
      <c r="F9" s="11">
        <f t="shared" si="2"/>
        <v>504</v>
      </c>
      <c r="G9" s="11">
        <f t="shared" si="3"/>
        <v>4536</v>
      </c>
    </row>
    <row r="10" spans="1:7" x14ac:dyDescent="0.25">
      <c r="A10" s="23">
        <v>9</v>
      </c>
      <c r="B10" s="8">
        <v>1200</v>
      </c>
      <c r="C10" s="27">
        <v>3</v>
      </c>
      <c r="D10" s="10">
        <f t="shared" si="0"/>
        <v>3600</v>
      </c>
      <c r="E10" s="25">
        <f t="shared" si="1"/>
        <v>0.1</v>
      </c>
      <c r="F10" s="10">
        <f t="shared" si="2"/>
        <v>360</v>
      </c>
      <c r="G10" s="10">
        <f t="shared" si="3"/>
        <v>3240</v>
      </c>
    </row>
    <row r="11" spans="1:7" x14ac:dyDescent="0.25">
      <c r="A11" s="24">
        <v>10</v>
      </c>
      <c r="B11" s="9">
        <v>480</v>
      </c>
      <c r="C11" s="28">
        <v>4</v>
      </c>
      <c r="D11" s="11">
        <f t="shared" si="0"/>
        <v>1920</v>
      </c>
      <c r="E11" s="26">
        <f t="shared" si="1"/>
        <v>0.1</v>
      </c>
      <c r="F11" s="11">
        <f t="shared" si="2"/>
        <v>192</v>
      </c>
      <c r="G11" s="11">
        <f t="shared" si="3"/>
        <v>1728</v>
      </c>
    </row>
    <row r="12" spans="1:7" x14ac:dyDescent="0.25">
      <c r="A12" s="23">
        <v>11</v>
      </c>
      <c r="B12" s="8">
        <v>33</v>
      </c>
      <c r="C12" s="27">
        <v>5</v>
      </c>
      <c r="D12" s="10">
        <f t="shared" si="0"/>
        <v>165</v>
      </c>
      <c r="E12" s="25">
        <f t="shared" si="1"/>
        <v>0.05</v>
      </c>
      <c r="F12" s="10">
        <f t="shared" si="2"/>
        <v>8.25</v>
      </c>
      <c r="G12" s="10">
        <f t="shared" si="3"/>
        <v>156.75</v>
      </c>
    </row>
    <row r="13" spans="1:7" x14ac:dyDescent="0.25">
      <c r="A13" s="24">
        <v>12</v>
      </c>
      <c r="B13" s="9">
        <v>1200</v>
      </c>
      <c r="C13" s="28">
        <v>2</v>
      </c>
      <c r="D13" s="11">
        <f t="shared" si="0"/>
        <v>2400</v>
      </c>
      <c r="E13" s="26">
        <f t="shared" si="1"/>
        <v>0.1</v>
      </c>
      <c r="F13" s="11">
        <f t="shared" si="2"/>
        <v>240</v>
      </c>
      <c r="G13" s="11">
        <f t="shared" si="3"/>
        <v>2160</v>
      </c>
    </row>
    <row r="14" spans="1:7" x14ac:dyDescent="0.25">
      <c r="A14" s="23">
        <v>13</v>
      </c>
      <c r="B14" s="8">
        <v>15</v>
      </c>
      <c r="C14" s="27">
        <v>10</v>
      </c>
      <c r="D14" s="10">
        <f t="shared" si="0"/>
        <v>150</v>
      </c>
      <c r="E14" s="25">
        <f t="shared" si="1"/>
        <v>0.05</v>
      </c>
      <c r="F14" s="10">
        <f t="shared" si="2"/>
        <v>7.5</v>
      </c>
      <c r="G14" s="10">
        <f t="shared" si="3"/>
        <v>142.5</v>
      </c>
    </row>
    <row r="15" spans="1:7" x14ac:dyDescent="0.25">
      <c r="A15" s="24">
        <v>14</v>
      </c>
      <c r="B15" s="9">
        <v>24</v>
      </c>
      <c r="C15" s="28">
        <v>5</v>
      </c>
      <c r="D15" s="11">
        <f t="shared" si="0"/>
        <v>120</v>
      </c>
      <c r="E15" s="26">
        <f t="shared" si="1"/>
        <v>0.05</v>
      </c>
      <c r="F15" s="11">
        <f t="shared" si="2"/>
        <v>6</v>
      </c>
      <c r="G15" s="11">
        <f t="shared" si="3"/>
        <v>114</v>
      </c>
    </row>
    <row r="17" spans="5:7" ht="15.75" x14ac:dyDescent="0.25">
      <c r="E17" s="14" t="s">
        <v>31</v>
      </c>
      <c r="F17" s="33"/>
      <c r="G17" s="34">
        <f>SUM(G2:G15)</f>
        <v>20348.25</v>
      </c>
    </row>
    <row r="18" spans="5:7" ht="15.75" x14ac:dyDescent="0.25">
      <c r="E18" s="14" t="s">
        <v>32</v>
      </c>
      <c r="F18" s="33"/>
      <c r="G18" s="35">
        <v>0.19</v>
      </c>
    </row>
    <row r="19" spans="5:7" ht="15.75" x14ac:dyDescent="0.25">
      <c r="E19" s="32" t="s">
        <v>33</v>
      </c>
      <c r="F19" s="31"/>
      <c r="G19" s="34">
        <f>(G17*G18)</f>
        <v>3866.1675</v>
      </c>
    </row>
    <row r="20" spans="5:7" ht="18.75" x14ac:dyDescent="0.3">
      <c r="E20" s="32" t="s">
        <v>34</v>
      </c>
      <c r="F20" s="31"/>
      <c r="G20" s="30">
        <f>(G17+G19)</f>
        <v>24214.4175</v>
      </c>
    </row>
  </sheetData>
  <mergeCells count="4">
    <mergeCell ref="E20:F20"/>
    <mergeCell ref="E17:F17"/>
    <mergeCell ref="E18:F18"/>
    <mergeCell ref="E19:F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9837-BE19-47FA-A4D5-21101DF6F249}">
  <dimension ref="A1:C11"/>
  <sheetViews>
    <sheetView topLeftCell="A16" zoomScale="115" zoomScaleNormal="115" workbookViewId="0">
      <selection sqref="A1:C1"/>
    </sheetView>
  </sheetViews>
  <sheetFormatPr defaultRowHeight="15" x14ac:dyDescent="0.25"/>
  <cols>
    <col min="1" max="1" width="21.5703125" customWidth="1"/>
    <col min="2" max="2" width="24.5703125" customWidth="1"/>
    <col min="3" max="3" width="21.140625" customWidth="1"/>
  </cols>
  <sheetData>
    <row r="1" spans="1:3" x14ac:dyDescent="0.25">
      <c r="A1" s="21" t="s">
        <v>21</v>
      </c>
      <c r="B1" s="22" t="s">
        <v>22</v>
      </c>
      <c r="C1" s="22" t="s">
        <v>23</v>
      </c>
    </row>
    <row r="2" spans="1:3" x14ac:dyDescent="0.25">
      <c r="A2" s="15">
        <v>1</v>
      </c>
      <c r="B2" s="16">
        <v>5</v>
      </c>
      <c r="C2" s="16">
        <f>(B2/A2)</f>
        <v>5</v>
      </c>
    </row>
    <row r="3" spans="1:3" x14ac:dyDescent="0.25">
      <c r="A3" s="17">
        <v>2</v>
      </c>
      <c r="B3" s="18">
        <v>10</v>
      </c>
      <c r="C3" s="18">
        <f t="shared" ref="C3:C11" si="0">(B3/A3)</f>
        <v>5</v>
      </c>
    </row>
    <row r="4" spans="1:3" x14ac:dyDescent="0.25">
      <c r="A4" s="15">
        <v>3</v>
      </c>
      <c r="B4" s="16">
        <v>17</v>
      </c>
      <c r="C4" s="16">
        <f>(B4/A4)</f>
        <v>5.666666666666667</v>
      </c>
    </row>
    <row r="5" spans="1:3" x14ac:dyDescent="0.25">
      <c r="A5" s="17">
        <v>4</v>
      </c>
      <c r="B5" s="18">
        <v>27</v>
      </c>
      <c r="C5" s="18">
        <f t="shared" si="0"/>
        <v>6.75</v>
      </c>
    </row>
    <row r="6" spans="1:3" x14ac:dyDescent="0.25">
      <c r="A6" s="15">
        <v>5</v>
      </c>
      <c r="B6" s="16">
        <v>37</v>
      </c>
      <c r="C6" s="16">
        <f t="shared" si="0"/>
        <v>7.4</v>
      </c>
    </row>
    <row r="7" spans="1:3" x14ac:dyDescent="0.25">
      <c r="A7" s="17">
        <v>6</v>
      </c>
      <c r="B7" s="18">
        <v>49</v>
      </c>
      <c r="C7" s="18">
        <f t="shared" si="0"/>
        <v>8.1666666666666661</v>
      </c>
    </row>
    <row r="8" spans="1:3" x14ac:dyDescent="0.25">
      <c r="A8" s="15">
        <v>7</v>
      </c>
      <c r="B8" s="16">
        <v>63</v>
      </c>
      <c r="C8" s="16">
        <f t="shared" si="0"/>
        <v>9</v>
      </c>
    </row>
    <row r="9" spans="1:3" x14ac:dyDescent="0.25">
      <c r="A9" s="17">
        <v>8</v>
      </c>
      <c r="B9" s="18">
        <v>75</v>
      </c>
      <c r="C9" s="18">
        <f t="shared" si="0"/>
        <v>9.375</v>
      </c>
    </row>
    <row r="10" spans="1:3" x14ac:dyDescent="0.25">
      <c r="A10" s="15">
        <v>9</v>
      </c>
      <c r="B10" s="16">
        <v>83</v>
      </c>
      <c r="C10" s="16">
        <f t="shared" si="0"/>
        <v>9.2222222222222214</v>
      </c>
    </row>
    <row r="11" spans="1:3" x14ac:dyDescent="0.25">
      <c r="A11" s="19">
        <v>10</v>
      </c>
      <c r="B11" s="20">
        <v>91</v>
      </c>
      <c r="C11" s="20">
        <f t="shared" si="0"/>
        <v>9.1</v>
      </c>
    </row>
  </sheetData>
  <dataValidations count="1">
    <dataValidation type="decimal" operator="greaterThan" allowBlank="1" showInputMessage="1" showErrorMessage="1" sqref="A2:A11 B2:B11" xr:uid="{1259AB13-3F5B-473B-9A64-E7FA71C8C1F2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Qus1</vt:lpstr>
      <vt:lpstr>Qus2 Table1</vt:lpstr>
      <vt:lpstr>Qus2 Table2</vt:lpstr>
      <vt:lpstr>Qus2 Table3</vt:lpstr>
      <vt:lpstr>Qus3</vt:lpstr>
      <vt:lpstr>Qus4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csAmine</dc:creator>
  <cp:lastModifiedBy>csAmine</cp:lastModifiedBy>
  <dcterms:created xsi:type="dcterms:W3CDTF">2025-12-10T06:57:50Z</dcterms:created>
  <dcterms:modified xsi:type="dcterms:W3CDTF">2025-12-21T09:42:31Z</dcterms:modified>
</cp:coreProperties>
</file>